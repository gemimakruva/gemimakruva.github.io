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emi\projects\gedesangugemi\kuliah-metsi\Semester-1\UTS\Hari-1\DDK\materi_prediksi soal\"/>
    </mc:Choice>
  </mc:AlternateContent>
  <xr:revisionPtr revIDLastSave="0" documentId="13_ncr:1_{E641963F-A12D-482F-84AD-30FE0E15D68A}" xr6:coauthVersionLast="47" xr6:coauthVersionMax="47" xr10:uidLastSave="{00000000-0000-0000-0000-000000000000}"/>
  <bookViews>
    <workbookView xWindow="-108" yWindow="-108" windowWidth="23256" windowHeight="12456" xr2:uid="{9AE7EFF8-EB4D-8F48-BE73-C9A1F4B4959C}"/>
  </bookViews>
  <sheets>
    <sheet name="PR 3_del_t=0.2" sheetId="2" r:id="rId1"/>
    <sheet name="PR4_del_t=0.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C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5" i="2"/>
  <c r="C5" i="2"/>
  <c r="B54" i="2"/>
  <c r="B52" i="2"/>
  <c r="B53" i="2"/>
  <c r="B48" i="2"/>
  <c r="B49" i="2"/>
  <c r="B50" i="2"/>
  <c r="B51" i="2"/>
  <c r="B45" i="2"/>
  <c r="B46" i="2"/>
  <c r="B47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9" i="2"/>
  <c r="B8" i="2"/>
  <c r="B7" i="2"/>
  <c r="B6" i="2"/>
  <c r="B5" i="2"/>
  <c r="D6" i="3" l="1"/>
  <c r="C6" i="3"/>
  <c r="D6" i="2"/>
  <c r="C6" i="2"/>
  <c r="C7" i="2" s="1"/>
  <c r="C7" i="3" l="1"/>
  <c r="D7" i="3"/>
  <c r="D7" i="2"/>
  <c r="D8" i="3" l="1"/>
  <c r="C8" i="3"/>
  <c r="D8" i="2"/>
  <c r="C8" i="2"/>
  <c r="C9" i="3" l="1"/>
  <c r="D9" i="3"/>
  <c r="C10" i="3" s="1"/>
  <c r="C9" i="2"/>
  <c r="D9" i="2"/>
  <c r="D10" i="3" l="1"/>
  <c r="C11" i="3" s="1"/>
  <c r="C10" i="2"/>
  <c r="D10" i="2"/>
  <c r="C11" i="2" s="1"/>
  <c r="D11" i="3" l="1"/>
  <c r="C12" i="3" s="1"/>
  <c r="D11" i="2"/>
  <c r="D12" i="2" s="1"/>
  <c r="D12" i="3" l="1"/>
  <c r="C13" i="3" s="1"/>
  <c r="C12" i="2"/>
  <c r="D13" i="3" l="1"/>
  <c r="C14" i="3" s="1"/>
  <c r="D13" i="2"/>
  <c r="C13" i="2"/>
  <c r="D14" i="3" l="1"/>
  <c r="C15" i="3" s="1"/>
  <c r="D14" i="2"/>
  <c r="C14" i="2"/>
  <c r="D15" i="3" l="1"/>
  <c r="D16" i="3" s="1"/>
  <c r="D15" i="2"/>
  <c r="C15" i="2"/>
  <c r="C16" i="3" l="1"/>
  <c r="D16" i="2"/>
  <c r="C16" i="2"/>
  <c r="D17" i="3" l="1"/>
  <c r="C17" i="3"/>
  <c r="C17" i="2"/>
  <c r="D17" i="2"/>
  <c r="C18" i="3" l="1"/>
  <c r="D18" i="3"/>
  <c r="D18" i="2"/>
  <c r="C18" i="2"/>
  <c r="C19" i="3" l="1"/>
  <c r="D19" i="3"/>
  <c r="C19" i="2"/>
  <c r="D19" i="2"/>
  <c r="D20" i="3" l="1"/>
  <c r="C20" i="3"/>
  <c r="D20" i="2"/>
  <c r="C20" i="2"/>
  <c r="C21" i="3" l="1"/>
  <c r="D21" i="3"/>
  <c r="D21" i="2"/>
  <c r="C21" i="2"/>
  <c r="C22" i="3" l="1"/>
  <c r="D22" i="3"/>
  <c r="D22" i="2"/>
  <c r="C22" i="2"/>
  <c r="C23" i="3" l="1"/>
  <c r="D23" i="3"/>
  <c r="D23" i="2"/>
  <c r="C23" i="2"/>
  <c r="D24" i="3" l="1"/>
  <c r="C24" i="3"/>
  <c r="D24" i="2"/>
  <c r="C24" i="2"/>
  <c r="C25" i="3" l="1"/>
  <c r="D25" i="3"/>
  <c r="D25" i="2"/>
  <c r="C25" i="2"/>
  <c r="C26" i="3" l="1"/>
  <c r="D26" i="3"/>
  <c r="D26" i="2"/>
  <c r="C26" i="2"/>
  <c r="C27" i="3" l="1"/>
  <c r="D27" i="3"/>
  <c r="D27" i="2"/>
  <c r="C27" i="2"/>
  <c r="D28" i="3" l="1"/>
  <c r="C28" i="3"/>
  <c r="D28" i="2"/>
  <c r="C28" i="2"/>
  <c r="C29" i="3" l="1"/>
  <c r="D29" i="3"/>
  <c r="D29" i="2"/>
  <c r="C29" i="2"/>
  <c r="C30" i="3" l="1"/>
  <c r="D30" i="3"/>
  <c r="D30" i="2"/>
  <c r="C30" i="2"/>
  <c r="C31" i="3" l="1"/>
  <c r="D31" i="3"/>
  <c r="D31" i="2"/>
  <c r="C31" i="2"/>
  <c r="C32" i="3" l="1"/>
  <c r="D32" i="3"/>
  <c r="D32" i="2"/>
  <c r="C32" i="2"/>
  <c r="C33" i="3" l="1"/>
  <c r="D33" i="3"/>
  <c r="D33" i="2"/>
  <c r="C33" i="2"/>
  <c r="C34" i="3" l="1"/>
  <c r="D34" i="3"/>
  <c r="D34" i="2"/>
  <c r="C34" i="2"/>
  <c r="C35" i="3" l="1"/>
  <c r="D35" i="3"/>
  <c r="D35" i="2"/>
  <c r="C35" i="2"/>
  <c r="D36" i="3" l="1"/>
  <c r="C36" i="3"/>
  <c r="D36" i="2"/>
  <c r="C36" i="2"/>
  <c r="D37" i="3" l="1"/>
  <c r="C37" i="3"/>
  <c r="D37" i="2"/>
  <c r="C37" i="2"/>
  <c r="C38" i="3" l="1"/>
  <c r="D38" i="3"/>
  <c r="D38" i="2"/>
  <c r="C38" i="2"/>
  <c r="C39" i="3" l="1"/>
  <c r="D39" i="3"/>
  <c r="D39" i="2"/>
  <c r="C39" i="2"/>
  <c r="D40" i="3" l="1"/>
  <c r="C40" i="3"/>
  <c r="D40" i="2"/>
  <c r="C40" i="2"/>
  <c r="C41" i="3" l="1"/>
  <c r="D41" i="3"/>
  <c r="D41" i="2"/>
  <c r="C41" i="2"/>
  <c r="C42" i="3" l="1"/>
  <c r="D42" i="3"/>
  <c r="D42" i="2"/>
  <c r="C42" i="2"/>
  <c r="C43" i="3" l="1"/>
  <c r="D43" i="3"/>
  <c r="D43" i="2"/>
  <c r="C43" i="2"/>
  <c r="D44" i="3" l="1"/>
  <c r="C44" i="3"/>
  <c r="D44" i="2"/>
  <c r="C44" i="2"/>
  <c r="C45" i="3" l="1"/>
  <c r="D45" i="3"/>
  <c r="D45" i="2"/>
  <c r="C45" i="2"/>
  <c r="C46" i="3" l="1"/>
  <c r="D46" i="3"/>
  <c r="D46" i="2"/>
  <c r="C46" i="2"/>
  <c r="C47" i="3" l="1"/>
  <c r="D47" i="3"/>
  <c r="D47" i="2"/>
  <c r="C47" i="2"/>
  <c r="C48" i="3" l="1"/>
  <c r="D48" i="3"/>
  <c r="D48" i="2"/>
  <c r="C48" i="2"/>
  <c r="C49" i="3" l="1"/>
  <c r="D49" i="3"/>
  <c r="D49" i="2"/>
  <c r="C49" i="2"/>
  <c r="C50" i="3" l="1"/>
  <c r="D50" i="3"/>
  <c r="D50" i="2"/>
  <c r="C50" i="2"/>
  <c r="C51" i="3" l="1"/>
  <c r="D51" i="3"/>
  <c r="D51" i="2"/>
  <c r="C51" i="2"/>
  <c r="D52" i="3" l="1"/>
  <c r="C52" i="3"/>
  <c r="D52" i="2"/>
  <c r="C52" i="2"/>
  <c r="C53" i="3" l="1"/>
  <c r="D53" i="3"/>
  <c r="D53" i="2"/>
  <c r="C53" i="2"/>
  <c r="C54" i="3" l="1"/>
  <c r="D54" i="3"/>
  <c r="D54" i="2"/>
  <c r="C54" i="2"/>
</calcChain>
</file>

<file path=xl/sharedStrings.xml><?xml version="1.0" encoding="utf-8"?>
<sst xmlns="http://schemas.openxmlformats.org/spreadsheetml/2006/main" count="10" uniqueCount="7">
  <si>
    <t>del_t</t>
  </si>
  <si>
    <t>j</t>
  </si>
  <si>
    <t>t</t>
  </si>
  <si>
    <t>y1</t>
  </si>
  <si>
    <t>y2</t>
  </si>
  <si>
    <t>y</t>
  </si>
  <si>
    <t>a=dy/dt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</si>
</sst>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 3_del_t=0.2'!$C$3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 3_del_t=0.2'!$B$4:$B$54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1.2000000000000002</c:v>
                </c:pt>
                <c:pt idx="7">
                  <c:v>1.4000000000000001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2.4000000000000004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</c:v>
                </c:pt>
                <c:pt idx="16">
                  <c:v>3.2</c:v>
                </c:pt>
                <c:pt idx="17">
                  <c:v>3.4000000000000004</c:v>
                </c:pt>
                <c:pt idx="18">
                  <c:v>3.6</c:v>
                </c:pt>
                <c:pt idx="19">
                  <c:v>3.8000000000000003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4.6000000000000005</c:v>
                </c:pt>
                <c:pt idx="24">
                  <c:v>4.8000000000000007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5.6000000000000005</c:v>
                </c:pt>
                <c:pt idx="29">
                  <c:v>5.8000000000000007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6.6000000000000005</c:v>
                </c:pt>
                <c:pt idx="34">
                  <c:v>6.8000000000000007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7.6000000000000005</c:v>
                </c:pt>
                <c:pt idx="39">
                  <c:v>7.8000000000000007</c:v>
                </c:pt>
                <c:pt idx="40">
                  <c:v>8</c:v>
                </c:pt>
                <c:pt idx="41">
                  <c:v>8.2000000000000011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9.2000000000000011</c:v>
                </c:pt>
                <c:pt idx="47">
                  <c:v>9.4</c:v>
                </c:pt>
                <c:pt idx="48">
                  <c:v>9.6000000000000014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'PR 3_del_t=0.2'!$C$4:$C$54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3.4000000000000004</c:v>
                </c:pt>
                <c:pt idx="18">
                  <c:v>3.6000000000000005</c:v>
                </c:pt>
                <c:pt idx="19">
                  <c:v>3.8000000000000003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4.6000000000000005</c:v>
                </c:pt>
                <c:pt idx="24">
                  <c:v>4.8000000000000007</c:v>
                </c:pt>
                <c:pt idx="25">
                  <c:v>5.0000000000000009</c:v>
                </c:pt>
                <c:pt idx="26">
                  <c:v>5.2000000000000011</c:v>
                </c:pt>
                <c:pt idx="27">
                  <c:v>5.4000000000000012</c:v>
                </c:pt>
                <c:pt idx="28">
                  <c:v>5.6000000000000014</c:v>
                </c:pt>
                <c:pt idx="29">
                  <c:v>5.8000000000000016</c:v>
                </c:pt>
                <c:pt idx="30">
                  <c:v>6.0000000000000018</c:v>
                </c:pt>
                <c:pt idx="31">
                  <c:v>6.200000000000002</c:v>
                </c:pt>
                <c:pt idx="32">
                  <c:v>6.4000000000000021</c:v>
                </c:pt>
                <c:pt idx="33">
                  <c:v>6.6000000000000023</c:v>
                </c:pt>
                <c:pt idx="34">
                  <c:v>6.8000000000000025</c:v>
                </c:pt>
                <c:pt idx="35">
                  <c:v>7.0000000000000027</c:v>
                </c:pt>
                <c:pt idx="36">
                  <c:v>7.2000000000000028</c:v>
                </c:pt>
                <c:pt idx="37">
                  <c:v>7.400000000000003</c:v>
                </c:pt>
                <c:pt idx="38">
                  <c:v>7.6000000000000032</c:v>
                </c:pt>
                <c:pt idx="39">
                  <c:v>7.8000000000000034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DB-F341-978D-7C3689102414}"/>
            </c:ext>
          </c:extLst>
        </c:ser>
        <c:ser>
          <c:idx val="1"/>
          <c:order val="1"/>
          <c:tx>
            <c:strRef>
              <c:f>'PR 3_del_t=0.2'!$D$3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 3_del_t=0.2'!$B$4:$B$54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1.2000000000000002</c:v>
                </c:pt>
                <c:pt idx="7">
                  <c:v>1.4000000000000001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2.4000000000000004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</c:v>
                </c:pt>
                <c:pt idx="16">
                  <c:v>3.2</c:v>
                </c:pt>
                <c:pt idx="17">
                  <c:v>3.4000000000000004</c:v>
                </c:pt>
                <c:pt idx="18">
                  <c:v>3.6</c:v>
                </c:pt>
                <c:pt idx="19">
                  <c:v>3.8000000000000003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4.6000000000000005</c:v>
                </c:pt>
                <c:pt idx="24">
                  <c:v>4.8000000000000007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5.6000000000000005</c:v>
                </c:pt>
                <c:pt idx="29">
                  <c:v>5.8000000000000007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6.6000000000000005</c:v>
                </c:pt>
                <c:pt idx="34">
                  <c:v>6.8000000000000007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7.6000000000000005</c:v>
                </c:pt>
                <c:pt idx="39">
                  <c:v>7.8000000000000007</c:v>
                </c:pt>
                <c:pt idx="40">
                  <c:v>8</c:v>
                </c:pt>
                <c:pt idx="41">
                  <c:v>8.2000000000000011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9.2000000000000011</c:v>
                </c:pt>
                <c:pt idx="47">
                  <c:v>9.4</c:v>
                </c:pt>
                <c:pt idx="48">
                  <c:v>9.6000000000000014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'PR 3_del_t=0.2'!$D$4:$D$54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</c:v>
                </c:pt>
                <c:pt idx="17">
                  <c:v>3.4000000000000008</c:v>
                </c:pt>
                <c:pt idx="18">
                  <c:v>3.6</c:v>
                </c:pt>
                <c:pt idx="19">
                  <c:v>3.8000000000000007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4.6000000000000005</c:v>
                </c:pt>
                <c:pt idx="24">
                  <c:v>4.8000000000000007</c:v>
                </c:pt>
                <c:pt idx="25">
                  <c:v>5.0000000000000009</c:v>
                </c:pt>
                <c:pt idx="26">
                  <c:v>5.2000000000000011</c:v>
                </c:pt>
                <c:pt idx="27">
                  <c:v>5.4000000000000012</c:v>
                </c:pt>
                <c:pt idx="28">
                  <c:v>5.6000000000000014</c:v>
                </c:pt>
                <c:pt idx="29">
                  <c:v>5.8000000000000016</c:v>
                </c:pt>
                <c:pt idx="30">
                  <c:v>6.0000000000000018</c:v>
                </c:pt>
                <c:pt idx="31">
                  <c:v>6.200000000000002</c:v>
                </c:pt>
                <c:pt idx="32">
                  <c:v>6.4000000000000021</c:v>
                </c:pt>
                <c:pt idx="33">
                  <c:v>6.6000000000000023</c:v>
                </c:pt>
                <c:pt idx="34">
                  <c:v>6.8000000000000025</c:v>
                </c:pt>
                <c:pt idx="35">
                  <c:v>7.0000000000000027</c:v>
                </c:pt>
                <c:pt idx="36">
                  <c:v>7.2000000000000028</c:v>
                </c:pt>
                <c:pt idx="37">
                  <c:v>7.400000000000003</c:v>
                </c:pt>
                <c:pt idx="38">
                  <c:v>7.6000000000000032</c:v>
                </c:pt>
                <c:pt idx="39">
                  <c:v>7.8000000000000034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DB-F341-978D-7C3689102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135311"/>
        <c:axId val="1856627376"/>
      </c:scatterChart>
      <c:valAx>
        <c:axId val="97013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27376"/>
        <c:crosses val="autoZero"/>
        <c:crossBetween val="midCat"/>
      </c:valAx>
      <c:valAx>
        <c:axId val="18566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35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46456692913385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'PR4_del_t=0.2'!$C$3</c:f>
              <c:strCache>
                <c:ptCount val="1"/>
                <c:pt idx="0">
                  <c:v>a=dy/dt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'PR4_del_t=0.2'!$B$4:$B$54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1.2000000000000002</c:v>
                </c:pt>
                <c:pt idx="7">
                  <c:v>1.4000000000000001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2.4000000000000004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</c:v>
                </c:pt>
                <c:pt idx="16">
                  <c:v>3.2</c:v>
                </c:pt>
                <c:pt idx="17">
                  <c:v>3.4000000000000004</c:v>
                </c:pt>
                <c:pt idx="18">
                  <c:v>3.6</c:v>
                </c:pt>
                <c:pt idx="19">
                  <c:v>3.8000000000000003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4.6000000000000005</c:v>
                </c:pt>
                <c:pt idx="24">
                  <c:v>4.8000000000000007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5.6000000000000005</c:v>
                </c:pt>
                <c:pt idx="29">
                  <c:v>5.8000000000000007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6.6000000000000005</c:v>
                </c:pt>
                <c:pt idx="34">
                  <c:v>6.8000000000000007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7.6000000000000005</c:v>
                </c:pt>
                <c:pt idx="39">
                  <c:v>7.8000000000000007</c:v>
                </c:pt>
                <c:pt idx="40">
                  <c:v>8</c:v>
                </c:pt>
                <c:pt idx="41">
                  <c:v>8.2000000000000011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9.2000000000000011</c:v>
                </c:pt>
                <c:pt idx="47">
                  <c:v>9.4</c:v>
                </c:pt>
                <c:pt idx="48">
                  <c:v>9.6000000000000014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'PR4_del_t=0.2'!$C$4:$C$54</c:f>
              <c:numCache>
                <c:formatCode>General</c:formatCode>
                <c:ptCount val="51"/>
                <c:pt idx="0">
                  <c:v>0</c:v>
                </c:pt>
                <c:pt idx="1">
                  <c:v>0.8</c:v>
                </c:pt>
                <c:pt idx="2">
                  <c:v>1.1200000000000001</c:v>
                </c:pt>
                <c:pt idx="3">
                  <c:v>1.1839999999999999</c:v>
                </c:pt>
                <c:pt idx="4">
                  <c:v>1.1200000000000001</c:v>
                </c:pt>
                <c:pt idx="5">
                  <c:v>0.99968000000000001</c:v>
                </c:pt>
                <c:pt idx="6">
                  <c:v>0.86195200000000005</c:v>
                </c:pt>
                <c:pt idx="7">
                  <c:v>0.72688640000000004</c:v>
                </c:pt>
                <c:pt idx="8">
                  <c:v>0.603904</c:v>
                </c:pt>
                <c:pt idx="9">
                  <c:v>0.49656012800000005</c:v>
                </c:pt>
                <c:pt idx="10">
                  <c:v>0.40531025920000008</c:v>
                </c:pt>
                <c:pt idx="11">
                  <c:v>0.32908550144000015</c:v>
                </c:pt>
                <c:pt idx="12">
                  <c:v>0.26617077760000019</c:v>
                </c:pt>
                <c:pt idx="13">
                  <c:v>0.2146780479488001</c:v>
                </c:pt>
                <c:pt idx="14">
                  <c:v>0.1727872938803201</c:v>
                </c:pt>
                <c:pt idx="15">
                  <c:v>0.13885674841702408</c:v>
                </c:pt>
                <c:pt idx="16">
                  <c:v>0.11146154672128014</c:v>
                </c:pt>
                <c:pt idx="17">
                  <c:v>8.9394926169620609E-2</c:v>
                </c:pt>
                <c:pt idx="18">
                  <c:v>7.1651354211254403E-2</c:v>
                </c:pt>
                <c:pt idx="19">
                  <c:v>5.7402331334338266E-2</c:v>
                </c:pt>
                <c:pt idx="20">
                  <c:v>4.5970613846671504E-2</c:v>
                </c:pt>
                <c:pt idx="21">
                  <c:v>3.6805740344857694E-2</c:v>
                </c:pt>
                <c:pt idx="22">
                  <c:v>2.9462141836398448E-2</c:v>
                </c:pt>
                <c:pt idx="23">
                  <c:v>2.3580243205426121E-2</c:v>
                </c:pt>
                <c:pt idx="24">
                  <c:v>1.8870512406125327E-2</c:v>
                </c:pt>
                <c:pt idx="25">
                  <c:v>1.5100200629970827E-2</c:v>
                </c:pt>
                <c:pt idx="26">
                  <c:v>1.2082434927019024E-2</c:v>
                </c:pt>
                <c:pt idx="27">
                  <c:v>9.6673125954406785E-3</c:v>
                </c:pt>
                <c:pt idx="28">
                  <c:v>7.7346688686478742E-3</c:v>
                </c:pt>
                <c:pt idx="29">
                  <c:v>6.1882263702955111E-3</c:v>
                </c:pt>
                <c:pt idx="30">
                  <c:v>4.9508758614627314E-3</c:v>
                </c:pt>
                <c:pt idx="31">
                  <c:v>3.9608775483060167E-3</c:v>
                </c:pt>
                <c:pt idx="32">
                  <c:v>3.1688081541263327E-3</c:v>
                </c:pt>
                <c:pt idx="33">
                  <c:v>2.5351101925900157E-3</c:v>
                </c:pt>
                <c:pt idx="34">
                  <c:v>2.0281263556454522E-3</c:v>
                </c:pt>
                <c:pt idx="35">
                  <c:v>1.6225240054603997E-3</c:v>
                </c:pt>
                <c:pt idx="36">
                  <c:v>1.2980329569347449E-3</c:v>
                </c:pt>
                <c:pt idx="37">
                  <c:v>1.0384346170876891E-3</c:v>
                </c:pt>
                <c:pt idx="38">
                  <c:v>8.307526445941216E-4</c:v>
                </c:pt>
                <c:pt idx="39">
                  <c:v>6.6460508622963928E-4</c:v>
                </c:pt>
                <c:pt idx="40">
                  <c:v>5.3168585131631915E-4</c:v>
                </c:pt>
                <c:pt idx="41">
                  <c:v>4.2534975045266149E-4</c:v>
                </c:pt>
                <c:pt idx="42">
                  <c:v>3.4028044200197001E-4</c:v>
                </c:pt>
                <c:pt idx="43">
                  <c:v>2.7222473858551138E-4</c:v>
                </c:pt>
                <c:pt idx="44">
                  <c:v>2.1778002185877991E-4</c:v>
                </c:pt>
                <c:pt idx="45">
                  <c:v>1.7422415608122404E-4</c:v>
                </c:pt>
                <c:pt idx="46">
                  <c:v>1.3937940802149823E-4</c:v>
                </c:pt>
                <c:pt idx="47">
                  <c:v>1.1150357631118707E-4</c:v>
                </c:pt>
                <c:pt idx="48">
                  <c:v>8.9202890985338112E-5</c:v>
                </c:pt>
                <c:pt idx="49">
                  <c:v>7.1362330750077634E-5</c:v>
                </c:pt>
                <c:pt idx="50">
                  <c:v>5.7089875377145318E-5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7F-104C-AC34-A068CFBD1C0D}"/>
            </c:ext>
          </c:extLst>
        </c:ser>
        <c:ser>
          <c:idx val="1"/>
          <c:order val="1"/>
          <c:tx>
            <c:strRef>
              <c:f>'PR4_del_t=0.2'!$D$3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'PR4_del_t=0.2'!$B$4:$B$54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1.2000000000000002</c:v>
                </c:pt>
                <c:pt idx="7">
                  <c:v>1.4000000000000001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2.4000000000000004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</c:v>
                </c:pt>
                <c:pt idx="16">
                  <c:v>3.2</c:v>
                </c:pt>
                <c:pt idx="17">
                  <c:v>3.4000000000000004</c:v>
                </c:pt>
                <c:pt idx="18">
                  <c:v>3.6</c:v>
                </c:pt>
                <c:pt idx="19">
                  <c:v>3.8000000000000003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4.6000000000000005</c:v>
                </c:pt>
                <c:pt idx="24">
                  <c:v>4.8000000000000007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5.6000000000000005</c:v>
                </c:pt>
                <c:pt idx="29">
                  <c:v>5.8000000000000007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6.6000000000000005</c:v>
                </c:pt>
                <c:pt idx="34">
                  <c:v>6.8000000000000007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7.6000000000000005</c:v>
                </c:pt>
                <c:pt idx="39">
                  <c:v>7.8000000000000007</c:v>
                </c:pt>
                <c:pt idx="40">
                  <c:v>8</c:v>
                </c:pt>
                <c:pt idx="41">
                  <c:v>8.2000000000000011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9.2000000000000011</c:v>
                </c:pt>
                <c:pt idx="47">
                  <c:v>9.4</c:v>
                </c:pt>
                <c:pt idx="48">
                  <c:v>9.6000000000000014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'PR4_del_t=0.2'!$D$4:$D$54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0.16000000000000003</c:v>
                </c:pt>
                <c:pt idx="3">
                  <c:v>0.38400000000000006</c:v>
                </c:pt>
                <c:pt idx="4">
                  <c:v>0.62080000000000002</c:v>
                </c:pt>
                <c:pt idx="5">
                  <c:v>0.8448</c:v>
                </c:pt>
                <c:pt idx="6">
                  <c:v>1.0447359999999999</c:v>
                </c:pt>
                <c:pt idx="7">
                  <c:v>1.2171263999999999</c:v>
                </c:pt>
                <c:pt idx="8">
                  <c:v>1.3625036799999999</c:v>
                </c:pt>
                <c:pt idx="9">
                  <c:v>1.4832844799999998</c:v>
                </c:pt>
                <c:pt idx="10">
                  <c:v>1.5825965055999998</c:v>
                </c:pt>
                <c:pt idx="11">
                  <c:v>1.6636585574399998</c:v>
                </c:pt>
                <c:pt idx="12">
                  <c:v>1.7294756577279999</c:v>
                </c:pt>
                <c:pt idx="13">
                  <c:v>1.7827098132479999</c:v>
                </c:pt>
                <c:pt idx="14">
                  <c:v>1.8256454228377599</c:v>
                </c:pt>
                <c:pt idx="15">
                  <c:v>1.8602028816138239</c:v>
                </c:pt>
                <c:pt idx="16">
                  <c:v>1.8879742312972287</c:v>
                </c:pt>
                <c:pt idx="17">
                  <c:v>1.9102665406414847</c:v>
                </c:pt>
                <c:pt idx="18">
                  <c:v>1.9281455258754088</c:v>
                </c:pt>
                <c:pt idx="19">
                  <c:v>1.9424757967176596</c:v>
                </c:pt>
                <c:pt idx="20">
                  <c:v>1.9539562629845273</c:v>
                </c:pt>
                <c:pt idx="21">
                  <c:v>1.9631503857538617</c:v>
                </c:pt>
                <c:pt idx="22">
                  <c:v>1.9705115338228332</c:v>
                </c:pt>
                <c:pt idx="23">
                  <c:v>1.9764039621901128</c:v>
                </c:pt>
                <c:pt idx="24">
                  <c:v>1.9811200108311982</c:v>
                </c:pt>
                <c:pt idx="25">
                  <c:v>1.9848941133124232</c:v>
                </c:pt>
                <c:pt idx="26">
                  <c:v>1.9879141534384173</c:v>
                </c:pt>
                <c:pt idx="27">
                  <c:v>1.990330640423821</c:v>
                </c:pt>
                <c:pt idx="28">
                  <c:v>1.9922641029429091</c:v>
                </c:pt>
                <c:pt idx="29">
                  <c:v>1.9938110367166386</c:v>
                </c:pt>
                <c:pt idx="30">
                  <c:v>1.9950486819906976</c:v>
                </c:pt>
                <c:pt idx="31">
                  <c:v>1.9960388571629901</c:v>
                </c:pt>
                <c:pt idx="32">
                  <c:v>1.9968310326726513</c:v>
                </c:pt>
                <c:pt idx="33">
                  <c:v>1.9974647943034765</c:v>
                </c:pt>
                <c:pt idx="34">
                  <c:v>1.9979718163419944</c:v>
                </c:pt>
                <c:pt idx="35">
                  <c:v>1.9983774416131235</c:v>
                </c:pt>
                <c:pt idx="36">
                  <c:v>1.9987019464142155</c:v>
                </c:pt>
                <c:pt idx="37">
                  <c:v>1.9989615530056024</c:v>
                </c:pt>
                <c:pt idx="38">
                  <c:v>1.99916923992902</c:v>
                </c:pt>
                <c:pt idx="39">
                  <c:v>1.9993353904579387</c:v>
                </c:pt>
                <c:pt idx="40">
                  <c:v>1.9994683114751846</c:v>
                </c:pt>
                <c:pt idx="41">
                  <c:v>1.9995746486454478</c:v>
                </c:pt>
                <c:pt idx="42">
                  <c:v>1.9996597185955383</c:v>
                </c:pt>
                <c:pt idx="43">
                  <c:v>1.9997277746839386</c:v>
                </c:pt>
                <c:pt idx="44">
                  <c:v>1.9997822196316557</c:v>
                </c:pt>
                <c:pt idx="45">
                  <c:v>1.9998257756360274</c:v>
                </c:pt>
                <c:pt idx="46">
                  <c:v>1.9998606204672436</c:v>
                </c:pt>
                <c:pt idx="47">
                  <c:v>1.9998884963488479</c:v>
                </c:pt>
                <c:pt idx="48">
                  <c:v>1.9999107970641101</c:v>
                </c:pt>
                <c:pt idx="49">
                  <c:v>1.9999286376423071</c:v>
                </c:pt>
                <c:pt idx="50">
                  <c:v>1.9999429101084572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7F-104C-AC34-A068CFBD1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181328"/>
        <c:axId val="1817293360"/>
      </c:scatterChart>
      <c:valAx>
        <c:axId val="174818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93360"/>
        <c:crosses val="autoZero"/>
        <c:crossBetween val="midCat"/>
      </c:valAx>
      <c:valAx>
        <c:axId val="18172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8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164112</xdr:colOff>
      <xdr:row>12</xdr:row>
      <xdr:rowOff>19923</xdr:rowOff>
    </xdr:from>
    <xdr:to>
      <xdr:col>19</xdr:col>
      <xdr:colOff>160344</xdr:colOff>
      <xdr:row>24</xdr:row>
      <xdr:rowOff>143015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3249EC-B3B5-96D2-E9F8-850782FC6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3348" y="2454090"/>
          <a:ext cx="5799427" cy="2557258"/>
        </a:xfrm>
        <a:prstGeom prst="rect">
          <a:avLst/>
        </a:prstGeom>
      </xdr:spPr>
    </xdr:pic>
    <xdr:clientData/>
  </xdr:twoCellAnchor>
  <xdr:twoCellAnchor editAs="oneCell">
    <xdr:from>
      <xdr:col>5</xdr:col>
      <xdr:colOff>619760</xdr:colOff>
      <xdr:row>0</xdr:row>
      <xdr:rowOff>40640</xdr:rowOff>
    </xdr:from>
    <xdr:to>
      <xdr:col>12</xdr:col>
      <xdr:colOff>97633</xdr:colOff>
      <xdr:row>9</xdr:row>
      <xdr:rowOff>137793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0B73C0-0362-7474-D233-62933E66A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00" y="40640"/>
          <a:ext cx="5238593" cy="1925953"/>
        </a:xfrm>
        <a:prstGeom prst="rect">
          <a:avLst/>
        </a:prstGeom>
      </xdr:spPr>
    </xdr:pic>
    <xdr:clientData/>
  </xdr:twoCellAnchor>
  <xdr:twoCellAnchor editAs="oneCell">
    <xdr:from>
      <xdr:col>32</xdr:col>
      <xdr:colOff>387135</xdr:colOff>
      <xdr:row>2</xdr:row>
      <xdr:rowOff>26900</xdr:rowOff>
    </xdr:from>
    <xdr:to>
      <xdr:col>37</xdr:col>
      <xdr:colOff>626126</xdr:colOff>
      <xdr:row>10</xdr:row>
      <xdr:rowOff>97572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1F9AF4-AFEE-F763-1144-0AA10C554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36927" y="432594"/>
          <a:ext cx="4384130" cy="1693450"/>
        </a:xfrm>
        <a:prstGeom prst="rect">
          <a:avLst/>
        </a:prstGeom>
      </xdr:spPr>
    </xdr:pic>
    <xdr:clientData/>
  </xdr:twoCellAnchor>
  <xdr:twoCellAnchor editAs="oneCell">
    <xdr:from>
      <xdr:col>12</xdr:col>
      <xdr:colOff>88195</xdr:colOff>
      <xdr:row>1</xdr:row>
      <xdr:rowOff>114653</xdr:rowOff>
    </xdr:from>
    <xdr:to>
      <xdr:col>17</xdr:col>
      <xdr:colOff>327186</xdr:colOff>
      <xdr:row>9</xdr:row>
      <xdr:rowOff>185325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02BE74C-B994-C357-2A22-1A966342F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7431" y="317500"/>
          <a:ext cx="4384130" cy="1693450"/>
        </a:xfrm>
        <a:prstGeom prst="rect">
          <a:avLst/>
        </a:prstGeom>
      </xdr:spPr>
    </xdr:pic>
    <xdr:clientData/>
  </xdr:twoCellAnchor>
  <xdr:twoCellAnchor>
    <xdr:from>
      <xdr:col>5</xdr:col>
      <xdr:colOff>580319</xdr:colOff>
      <xdr:row>10</xdr:row>
      <xdr:rowOff>154165</xdr:rowOff>
    </xdr:from>
    <xdr:to>
      <xdr:col>11</xdr:col>
      <xdr:colOff>178153</xdr:colOff>
      <xdr:row>24</xdr:row>
      <xdr:rowOff>57504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8674AF-BD41-2935-BB55-6EFD6DB42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399511</xdr:colOff>
      <xdr:row>17</xdr:row>
      <xdr:rowOff>91318</xdr:rowOff>
    </xdr:from>
    <xdr:to>
      <xdr:col>16</xdr:col>
      <xdr:colOff>4535</xdr:colOff>
      <xdr:row>46</xdr:row>
      <xdr:rowOff>179485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E99CF-91CD-09F5-B06E-B7550E152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6749" y="3586842"/>
          <a:ext cx="3717405" cy="6051119"/>
        </a:xfrm>
        <a:prstGeom prst="rect">
          <a:avLst/>
        </a:prstGeom>
      </xdr:spPr>
    </xdr:pic>
    <xdr:clientData/>
  </xdr:twoCellAnchor>
  <xdr:twoCellAnchor editAs="oneCell">
    <xdr:from>
      <xdr:col>10</xdr:col>
      <xdr:colOff>564244</xdr:colOff>
      <xdr:row>6</xdr:row>
      <xdr:rowOff>136713</xdr:rowOff>
    </xdr:from>
    <xdr:to>
      <xdr:col>16</xdr:col>
      <xdr:colOff>319416</xdr:colOff>
      <xdr:row>18</xdr:row>
      <xdr:rowOff>33363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BD481-7591-3F93-C246-869966F27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89006" y="1370427"/>
          <a:ext cx="4690029" cy="2364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194020</xdr:rowOff>
    </xdr:from>
    <xdr:to>
      <xdr:col>11</xdr:col>
      <xdr:colOff>589300</xdr:colOff>
      <xdr:row>32</xdr:row>
      <xdr:rowOff>172356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BC939F-D93C-4F8D-C891-122D5DEE3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95163"/>
          <a:ext cx="9636538" cy="2857003"/>
        </a:xfrm>
        <a:prstGeom prst="rect">
          <a:avLst/>
        </a:prstGeom>
      </xdr:spPr>
    </xdr:pic>
    <xdr:clientData/>
  </xdr:twoCellAnchor>
  <xdr:twoCellAnchor>
    <xdr:from>
      <xdr:col>5</xdr:col>
      <xdr:colOff>272143</xdr:colOff>
      <xdr:row>25</xdr:row>
      <xdr:rowOff>61685</xdr:rowOff>
    </xdr:from>
    <xdr:to>
      <xdr:col>10</xdr:col>
      <xdr:colOff>731762</xdr:colOff>
      <xdr:row>38</xdr:row>
      <xdr:rowOff>131837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884185-B6DF-DAFC-8668-E0509B3A9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623A-A5F6-644D-A79F-440C848D23D9}">
  <dimension ref="A1:E54"/>
  <sheetViews>
    <sheetView tabSelected="1" topLeftCell="A55" zoomScale="144" workbookViewId="0">
      <selection activeCell="F16" sqref="F16"/>
    </sheetView>
  </sheetViews>
  <sheetFormatPr defaultColWidth="11.19921875" defaultRowHeight="15.6" x14ac:dyDescent="0.3"/>
  <cols>
    <col min="1" max="1" width="5.5" style="3" customWidth="1"/>
    <col min="2" max="2" width="7.296875" style="3" customWidth="1"/>
    <col min="3" max="4" width="10.796875" style="3"/>
  </cols>
  <sheetData>
    <row r="1" spans="1:5" x14ac:dyDescent="0.3">
      <c r="A1" s="4" t="s">
        <v>0</v>
      </c>
      <c r="B1" s="4">
        <v>0.2</v>
      </c>
    </row>
    <row r="3" spans="1:5" x14ac:dyDescent="0.3">
      <c r="A3" s="5" t="s">
        <v>1</v>
      </c>
      <c r="B3" s="5" t="s">
        <v>2</v>
      </c>
      <c r="C3" s="5" t="s">
        <v>3</v>
      </c>
      <c r="D3" s="5" t="s">
        <v>4</v>
      </c>
      <c r="E3" s="1"/>
    </row>
    <row r="4" spans="1:5" x14ac:dyDescent="0.3">
      <c r="A4" s="2">
        <v>0</v>
      </c>
      <c r="B4" s="2">
        <v>0</v>
      </c>
      <c r="C4" s="2">
        <v>0</v>
      </c>
      <c r="D4" s="2">
        <v>0</v>
      </c>
    </row>
    <row r="5" spans="1:5" x14ac:dyDescent="0.3">
      <c r="A5" s="2">
        <v>1</v>
      </c>
      <c r="B5" s="2">
        <f>A5*$B$1</f>
        <v>0.2</v>
      </c>
      <c r="C5" s="2">
        <f>(1-C4+D4)*$B$1+C4</f>
        <v>0.2</v>
      </c>
      <c r="D5" s="2">
        <f>(1+C4-D4)*$B$1+C4</f>
        <v>0.2</v>
      </c>
    </row>
    <row r="6" spans="1:5" x14ac:dyDescent="0.3">
      <c r="A6" s="2">
        <v>2</v>
      </c>
      <c r="B6" s="2">
        <f>A6*$B$1</f>
        <v>0.4</v>
      </c>
      <c r="C6" s="2">
        <f t="shared" ref="C6:C54" si="0">(1-C5+D5)*$B$1+C5</f>
        <v>0.4</v>
      </c>
      <c r="D6" s="2">
        <f t="shared" ref="D6:D54" si="1">(1+C5-D5)*$B$1+C5</f>
        <v>0.4</v>
      </c>
    </row>
    <row r="7" spans="1:5" x14ac:dyDescent="0.3">
      <c r="A7" s="2">
        <v>3</v>
      </c>
      <c r="B7" s="2">
        <f>A7*$B$1</f>
        <v>0.60000000000000009</v>
      </c>
      <c r="C7" s="2">
        <f t="shared" si="0"/>
        <v>0.60000000000000009</v>
      </c>
      <c r="D7" s="2">
        <f t="shared" si="1"/>
        <v>0.6</v>
      </c>
    </row>
    <row r="8" spans="1:5" x14ac:dyDescent="0.3">
      <c r="A8" s="2">
        <v>4</v>
      </c>
      <c r="B8" s="2">
        <f>A8*$B$1</f>
        <v>0.8</v>
      </c>
      <c r="C8" s="2">
        <f t="shared" si="0"/>
        <v>0.8</v>
      </c>
      <c r="D8" s="2">
        <f t="shared" si="1"/>
        <v>0.8</v>
      </c>
    </row>
    <row r="9" spans="1:5" x14ac:dyDescent="0.3">
      <c r="A9" s="2">
        <v>5</v>
      </c>
      <c r="B9" s="2">
        <f>A9*$B$1</f>
        <v>1</v>
      </c>
      <c r="C9" s="2">
        <f t="shared" si="0"/>
        <v>1</v>
      </c>
      <c r="D9" s="2">
        <f t="shared" si="1"/>
        <v>1</v>
      </c>
    </row>
    <row r="10" spans="1:5" x14ac:dyDescent="0.3">
      <c r="A10" s="2">
        <v>6</v>
      </c>
      <c r="B10" s="2">
        <f t="shared" ref="B10:B54" si="2">A10*$B$1</f>
        <v>1.2000000000000002</v>
      </c>
      <c r="C10" s="2">
        <f t="shared" si="0"/>
        <v>1.2</v>
      </c>
      <c r="D10" s="2">
        <f t="shared" si="1"/>
        <v>1.2</v>
      </c>
    </row>
    <row r="11" spans="1:5" x14ac:dyDescent="0.3">
      <c r="A11" s="2">
        <v>7</v>
      </c>
      <c r="B11" s="2">
        <f t="shared" si="2"/>
        <v>1.4000000000000001</v>
      </c>
      <c r="C11" s="2">
        <f t="shared" si="0"/>
        <v>1.4</v>
      </c>
      <c r="D11" s="2">
        <f t="shared" si="1"/>
        <v>1.4</v>
      </c>
    </row>
    <row r="12" spans="1:5" x14ac:dyDescent="0.3">
      <c r="A12" s="2">
        <v>8</v>
      </c>
      <c r="B12" s="2">
        <f t="shared" si="2"/>
        <v>1.6</v>
      </c>
      <c r="C12" s="2">
        <f t="shared" si="0"/>
        <v>1.5999999999999999</v>
      </c>
      <c r="D12" s="2">
        <f t="shared" si="1"/>
        <v>1.5999999999999999</v>
      </c>
    </row>
    <row r="13" spans="1:5" x14ac:dyDescent="0.3">
      <c r="A13" s="2">
        <v>9</v>
      </c>
      <c r="B13" s="2">
        <f t="shared" si="2"/>
        <v>1.8</v>
      </c>
      <c r="C13" s="2">
        <f t="shared" si="0"/>
        <v>1.7999999999999998</v>
      </c>
      <c r="D13" s="2">
        <f t="shared" si="1"/>
        <v>1.7999999999999998</v>
      </c>
    </row>
    <row r="14" spans="1:5" x14ac:dyDescent="0.3">
      <c r="A14" s="2">
        <v>10</v>
      </c>
      <c r="B14" s="2">
        <f t="shared" si="2"/>
        <v>2</v>
      </c>
      <c r="C14" s="2">
        <f t="shared" si="0"/>
        <v>1.9999999999999998</v>
      </c>
      <c r="D14" s="2">
        <f t="shared" si="1"/>
        <v>1.9999999999999998</v>
      </c>
    </row>
    <row r="15" spans="1:5" x14ac:dyDescent="0.3">
      <c r="A15" s="2">
        <v>11</v>
      </c>
      <c r="B15" s="2">
        <f t="shared" si="2"/>
        <v>2.2000000000000002</v>
      </c>
      <c r="C15" s="2">
        <f t="shared" si="0"/>
        <v>2.1999999999999997</v>
      </c>
      <c r="D15" s="2">
        <f t="shared" si="1"/>
        <v>2.1999999999999997</v>
      </c>
    </row>
    <row r="16" spans="1:5" x14ac:dyDescent="0.3">
      <c r="A16" s="2">
        <v>12</v>
      </c>
      <c r="B16" s="2">
        <f t="shared" si="2"/>
        <v>2.4000000000000004</v>
      </c>
      <c r="C16" s="2">
        <f t="shared" si="0"/>
        <v>2.4</v>
      </c>
      <c r="D16" s="2">
        <f t="shared" si="1"/>
        <v>2.4</v>
      </c>
    </row>
    <row r="17" spans="1:4" x14ac:dyDescent="0.3">
      <c r="A17" s="2">
        <v>13</v>
      </c>
      <c r="B17" s="2">
        <f t="shared" si="2"/>
        <v>2.6</v>
      </c>
      <c r="C17" s="2">
        <f t="shared" si="0"/>
        <v>2.6</v>
      </c>
      <c r="D17" s="2">
        <f t="shared" si="1"/>
        <v>2.6</v>
      </c>
    </row>
    <row r="18" spans="1:4" x14ac:dyDescent="0.3">
      <c r="A18" s="2">
        <v>14</v>
      </c>
      <c r="B18" s="2">
        <f t="shared" si="2"/>
        <v>2.8000000000000003</v>
      </c>
      <c r="C18" s="2">
        <f t="shared" si="0"/>
        <v>2.8000000000000003</v>
      </c>
      <c r="D18" s="2">
        <f t="shared" si="1"/>
        <v>2.8000000000000003</v>
      </c>
    </row>
    <row r="19" spans="1:4" x14ac:dyDescent="0.3">
      <c r="A19" s="2">
        <v>15</v>
      </c>
      <c r="B19" s="2">
        <f t="shared" si="2"/>
        <v>3</v>
      </c>
      <c r="C19" s="2">
        <f t="shared" si="0"/>
        <v>3.0000000000000004</v>
      </c>
      <c r="D19" s="2">
        <f t="shared" si="1"/>
        <v>3.0000000000000004</v>
      </c>
    </row>
    <row r="20" spans="1:4" x14ac:dyDescent="0.3">
      <c r="A20" s="2">
        <v>16</v>
      </c>
      <c r="B20" s="2">
        <f t="shared" si="2"/>
        <v>3.2</v>
      </c>
      <c r="C20" s="2">
        <f t="shared" si="0"/>
        <v>3.2000000000000006</v>
      </c>
      <c r="D20" s="2">
        <f t="shared" si="1"/>
        <v>3.2</v>
      </c>
    </row>
    <row r="21" spans="1:4" x14ac:dyDescent="0.3">
      <c r="A21" s="2">
        <v>17</v>
      </c>
      <c r="B21" s="2">
        <f t="shared" si="2"/>
        <v>3.4000000000000004</v>
      </c>
      <c r="C21" s="2">
        <f t="shared" si="0"/>
        <v>3.4000000000000004</v>
      </c>
      <c r="D21" s="2">
        <f t="shared" si="1"/>
        <v>3.4000000000000008</v>
      </c>
    </row>
    <row r="22" spans="1:4" x14ac:dyDescent="0.3">
      <c r="A22" s="2">
        <v>18</v>
      </c>
      <c r="B22" s="2">
        <f t="shared" si="2"/>
        <v>3.6</v>
      </c>
      <c r="C22" s="2">
        <f t="shared" si="0"/>
        <v>3.6000000000000005</v>
      </c>
      <c r="D22" s="2">
        <f t="shared" si="1"/>
        <v>3.6</v>
      </c>
    </row>
    <row r="23" spans="1:4" x14ac:dyDescent="0.3">
      <c r="A23" s="2">
        <v>19</v>
      </c>
      <c r="B23" s="2">
        <f t="shared" si="2"/>
        <v>3.8000000000000003</v>
      </c>
      <c r="C23" s="2">
        <f t="shared" si="0"/>
        <v>3.8000000000000003</v>
      </c>
      <c r="D23" s="2">
        <f t="shared" si="1"/>
        <v>3.8000000000000007</v>
      </c>
    </row>
    <row r="24" spans="1:4" x14ac:dyDescent="0.3">
      <c r="A24" s="2">
        <v>20</v>
      </c>
      <c r="B24" s="2">
        <f t="shared" si="2"/>
        <v>4</v>
      </c>
      <c r="C24" s="2">
        <f t="shared" si="0"/>
        <v>4</v>
      </c>
      <c r="D24" s="2">
        <f t="shared" si="1"/>
        <v>4</v>
      </c>
    </row>
    <row r="25" spans="1:4" x14ac:dyDescent="0.3">
      <c r="A25" s="2">
        <v>21</v>
      </c>
      <c r="B25" s="2">
        <f t="shared" si="2"/>
        <v>4.2</v>
      </c>
      <c r="C25" s="2">
        <f t="shared" si="0"/>
        <v>4.2</v>
      </c>
      <c r="D25" s="2">
        <f t="shared" si="1"/>
        <v>4.2</v>
      </c>
    </row>
    <row r="26" spans="1:4" x14ac:dyDescent="0.3">
      <c r="A26" s="2">
        <v>22</v>
      </c>
      <c r="B26" s="2">
        <f t="shared" si="2"/>
        <v>4.4000000000000004</v>
      </c>
      <c r="C26" s="2">
        <f t="shared" si="0"/>
        <v>4.4000000000000004</v>
      </c>
      <c r="D26" s="2">
        <f t="shared" si="1"/>
        <v>4.4000000000000004</v>
      </c>
    </row>
    <row r="27" spans="1:4" x14ac:dyDescent="0.3">
      <c r="A27" s="2">
        <v>23</v>
      </c>
      <c r="B27" s="2">
        <f t="shared" si="2"/>
        <v>4.6000000000000005</v>
      </c>
      <c r="C27" s="2">
        <f t="shared" si="0"/>
        <v>4.6000000000000005</v>
      </c>
      <c r="D27" s="2">
        <f t="shared" si="1"/>
        <v>4.6000000000000005</v>
      </c>
    </row>
    <row r="28" spans="1:4" x14ac:dyDescent="0.3">
      <c r="A28" s="2">
        <v>24</v>
      </c>
      <c r="B28" s="2">
        <f t="shared" si="2"/>
        <v>4.8000000000000007</v>
      </c>
      <c r="C28" s="2">
        <f t="shared" si="0"/>
        <v>4.8000000000000007</v>
      </c>
      <c r="D28" s="2">
        <f t="shared" si="1"/>
        <v>4.8000000000000007</v>
      </c>
    </row>
    <row r="29" spans="1:4" x14ac:dyDescent="0.3">
      <c r="A29" s="2">
        <v>25</v>
      </c>
      <c r="B29" s="2">
        <f t="shared" si="2"/>
        <v>5</v>
      </c>
      <c r="C29" s="2">
        <f t="shared" si="0"/>
        <v>5.0000000000000009</v>
      </c>
      <c r="D29" s="2">
        <f t="shared" si="1"/>
        <v>5.0000000000000009</v>
      </c>
    </row>
    <row r="30" spans="1:4" x14ac:dyDescent="0.3">
      <c r="A30" s="2">
        <v>26</v>
      </c>
      <c r="B30" s="2">
        <f t="shared" si="2"/>
        <v>5.2</v>
      </c>
      <c r="C30" s="2">
        <f t="shared" si="0"/>
        <v>5.2000000000000011</v>
      </c>
      <c r="D30" s="2">
        <f t="shared" si="1"/>
        <v>5.2000000000000011</v>
      </c>
    </row>
    <row r="31" spans="1:4" x14ac:dyDescent="0.3">
      <c r="A31" s="2">
        <v>27</v>
      </c>
      <c r="B31" s="2">
        <f t="shared" si="2"/>
        <v>5.4</v>
      </c>
      <c r="C31" s="2">
        <f t="shared" si="0"/>
        <v>5.4000000000000012</v>
      </c>
      <c r="D31" s="2">
        <f t="shared" si="1"/>
        <v>5.4000000000000012</v>
      </c>
    </row>
    <row r="32" spans="1:4" x14ac:dyDescent="0.3">
      <c r="A32" s="2">
        <v>28</v>
      </c>
      <c r="B32" s="2">
        <f t="shared" si="2"/>
        <v>5.6000000000000005</v>
      </c>
      <c r="C32" s="2">
        <f t="shared" si="0"/>
        <v>5.6000000000000014</v>
      </c>
      <c r="D32" s="2">
        <f t="shared" si="1"/>
        <v>5.6000000000000014</v>
      </c>
    </row>
    <row r="33" spans="1:4" x14ac:dyDescent="0.3">
      <c r="A33" s="2">
        <v>29</v>
      </c>
      <c r="B33" s="2">
        <f t="shared" si="2"/>
        <v>5.8000000000000007</v>
      </c>
      <c r="C33" s="2">
        <f t="shared" si="0"/>
        <v>5.8000000000000016</v>
      </c>
      <c r="D33" s="2">
        <f t="shared" si="1"/>
        <v>5.8000000000000016</v>
      </c>
    </row>
    <row r="34" spans="1:4" x14ac:dyDescent="0.3">
      <c r="A34" s="2">
        <v>30</v>
      </c>
      <c r="B34" s="2">
        <f t="shared" si="2"/>
        <v>6</v>
      </c>
      <c r="C34" s="2">
        <f t="shared" si="0"/>
        <v>6.0000000000000018</v>
      </c>
      <c r="D34" s="2">
        <f t="shared" si="1"/>
        <v>6.0000000000000018</v>
      </c>
    </row>
    <row r="35" spans="1:4" x14ac:dyDescent="0.3">
      <c r="A35" s="2">
        <v>31</v>
      </c>
      <c r="B35" s="2">
        <f t="shared" si="2"/>
        <v>6.2</v>
      </c>
      <c r="C35" s="2">
        <f t="shared" si="0"/>
        <v>6.200000000000002</v>
      </c>
      <c r="D35" s="2">
        <f t="shared" si="1"/>
        <v>6.200000000000002</v>
      </c>
    </row>
    <row r="36" spans="1:4" x14ac:dyDescent="0.3">
      <c r="A36" s="2">
        <v>32</v>
      </c>
      <c r="B36" s="2">
        <f t="shared" si="2"/>
        <v>6.4</v>
      </c>
      <c r="C36" s="2">
        <f t="shared" si="0"/>
        <v>6.4000000000000021</v>
      </c>
      <c r="D36" s="2">
        <f t="shared" si="1"/>
        <v>6.4000000000000021</v>
      </c>
    </row>
    <row r="37" spans="1:4" x14ac:dyDescent="0.3">
      <c r="A37" s="2">
        <v>33</v>
      </c>
      <c r="B37" s="2">
        <f t="shared" si="2"/>
        <v>6.6000000000000005</v>
      </c>
      <c r="C37" s="2">
        <f t="shared" si="0"/>
        <v>6.6000000000000023</v>
      </c>
      <c r="D37" s="2">
        <f t="shared" si="1"/>
        <v>6.6000000000000023</v>
      </c>
    </row>
    <row r="38" spans="1:4" x14ac:dyDescent="0.3">
      <c r="A38" s="2">
        <v>34</v>
      </c>
      <c r="B38" s="2">
        <f t="shared" si="2"/>
        <v>6.8000000000000007</v>
      </c>
      <c r="C38" s="2">
        <f t="shared" si="0"/>
        <v>6.8000000000000025</v>
      </c>
      <c r="D38" s="2">
        <f t="shared" si="1"/>
        <v>6.8000000000000025</v>
      </c>
    </row>
    <row r="39" spans="1:4" x14ac:dyDescent="0.3">
      <c r="A39" s="2">
        <v>35</v>
      </c>
      <c r="B39" s="2">
        <f t="shared" si="2"/>
        <v>7</v>
      </c>
      <c r="C39" s="2">
        <f t="shared" si="0"/>
        <v>7.0000000000000027</v>
      </c>
      <c r="D39" s="2">
        <f t="shared" si="1"/>
        <v>7.0000000000000027</v>
      </c>
    </row>
    <row r="40" spans="1:4" x14ac:dyDescent="0.3">
      <c r="A40" s="2">
        <v>36</v>
      </c>
      <c r="B40" s="2">
        <f t="shared" si="2"/>
        <v>7.2</v>
      </c>
      <c r="C40" s="2">
        <f t="shared" si="0"/>
        <v>7.2000000000000028</v>
      </c>
      <c r="D40" s="2">
        <f t="shared" si="1"/>
        <v>7.2000000000000028</v>
      </c>
    </row>
    <row r="41" spans="1:4" x14ac:dyDescent="0.3">
      <c r="A41" s="2">
        <v>37</v>
      </c>
      <c r="B41" s="2">
        <f t="shared" si="2"/>
        <v>7.4</v>
      </c>
      <c r="C41" s="2">
        <f t="shared" si="0"/>
        <v>7.400000000000003</v>
      </c>
      <c r="D41" s="2">
        <f t="shared" si="1"/>
        <v>7.400000000000003</v>
      </c>
    </row>
    <row r="42" spans="1:4" x14ac:dyDescent="0.3">
      <c r="A42" s="2">
        <v>38</v>
      </c>
      <c r="B42" s="2">
        <f t="shared" si="2"/>
        <v>7.6000000000000005</v>
      </c>
      <c r="C42" s="2">
        <f t="shared" si="0"/>
        <v>7.6000000000000032</v>
      </c>
      <c r="D42" s="2">
        <f t="shared" si="1"/>
        <v>7.6000000000000032</v>
      </c>
    </row>
    <row r="43" spans="1:4" x14ac:dyDescent="0.3">
      <c r="A43" s="2">
        <v>39</v>
      </c>
      <c r="B43" s="2">
        <f t="shared" si="2"/>
        <v>7.8000000000000007</v>
      </c>
      <c r="C43" s="2">
        <f t="shared" si="0"/>
        <v>7.8000000000000034</v>
      </c>
      <c r="D43" s="2">
        <f t="shared" si="1"/>
        <v>7.8000000000000034</v>
      </c>
    </row>
    <row r="44" spans="1:4" x14ac:dyDescent="0.3">
      <c r="A44" s="2">
        <v>40</v>
      </c>
      <c r="B44" s="2">
        <f t="shared" si="2"/>
        <v>8</v>
      </c>
      <c r="C44" s="2">
        <f t="shared" si="0"/>
        <v>8.0000000000000036</v>
      </c>
      <c r="D44" s="2">
        <f t="shared" si="1"/>
        <v>8.0000000000000036</v>
      </c>
    </row>
    <row r="45" spans="1:4" x14ac:dyDescent="0.3">
      <c r="A45" s="2">
        <v>41</v>
      </c>
      <c r="B45" s="2">
        <f t="shared" si="2"/>
        <v>8.2000000000000011</v>
      </c>
      <c r="C45" s="2">
        <f t="shared" si="0"/>
        <v>8.2000000000000028</v>
      </c>
      <c r="D45" s="2">
        <f t="shared" si="1"/>
        <v>8.2000000000000028</v>
      </c>
    </row>
    <row r="46" spans="1:4" x14ac:dyDescent="0.3">
      <c r="A46" s="2">
        <v>42</v>
      </c>
      <c r="B46" s="2">
        <f t="shared" si="2"/>
        <v>8.4</v>
      </c>
      <c r="C46" s="2">
        <f t="shared" si="0"/>
        <v>8.4000000000000021</v>
      </c>
      <c r="D46" s="2">
        <f t="shared" si="1"/>
        <v>8.4000000000000021</v>
      </c>
    </row>
    <row r="47" spans="1:4" x14ac:dyDescent="0.3">
      <c r="A47" s="2">
        <v>43</v>
      </c>
      <c r="B47" s="2">
        <f t="shared" si="2"/>
        <v>8.6</v>
      </c>
      <c r="C47" s="2">
        <f t="shared" si="0"/>
        <v>8.6000000000000014</v>
      </c>
      <c r="D47" s="2">
        <f t="shared" si="1"/>
        <v>8.6000000000000014</v>
      </c>
    </row>
    <row r="48" spans="1:4" x14ac:dyDescent="0.3">
      <c r="A48" s="2">
        <v>44</v>
      </c>
      <c r="B48" s="2">
        <f t="shared" si="2"/>
        <v>8.8000000000000007</v>
      </c>
      <c r="C48" s="2">
        <f t="shared" si="0"/>
        <v>8.8000000000000007</v>
      </c>
      <c r="D48" s="2">
        <f t="shared" si="1"/>
        <v>8.8000000000000007</v>
      </c>
    </row>
    <row r="49" spans="1:4" x14ac:dyDescent="0.3">
      <c r="A49" s="2">
        <v>45</v>
      </c>
      <c r="B49" s="2">
        <f t="shared" si="2"/>
        <v>9</v>
      </c>
      <c r="C49" s="2">
        <f t="shared" si="0"/>
        <v>9</v>
      </c>
      <c r="D49" s="2">
        <f t="shared" si="1"/>
        <v>9</v>
      </c>
    </row>
    <row r="50" spans="1:4" x14ac:dyDescent="0.3">
      <c r="A50" s="2">
        <v>46</v>
      </c>
      <c r="B50" s="2">
        <f t="shared" si="2"/>
        <v>9.2000000000000011</v>
      </c>
      <c r="C50" s="2">
        <f t="shared" si="0"/>
        <v>9.1999999999999993</v>
      </c>
      <c r="D50" s="2">
        <f t="shared" si="1"/>
        <v>9.1999999999999993</v>
      </c>
    </row>
    <row r="51" spans="1:4" x14ac:dyDescent="0.3">
      <c r="A51" s="2">
        <v>47</v>
      </c>
      <c r="B51" s="2">
        <f t="shared" si="2"/>
        <v>9.4</v>
      </c>
      <c r="C51" s="2">
        <f t="shared" si="0"/>
        <v>9.3999999999999986</v>
      </c>
      <c r="D51" s="2">
        <f t="shared" si="1"/>
        <v>9.3999999999999986</v>
      </c>
    </row>
    <row r="52" spans="1:4" x14ac:dyDescent="0.3">
      <c r="A52" s="2">
        <v>48</v>
      </c>
      <c r="B52" s="2">
        <f t="shared" si="2"/>
        <v>9.6000000000000014</v>
      </c>
      <c r="C52" s="2">
        <f t="shared" si="0"/>
        <v>9.5999999999999979</v>
      </c>
      <c r="D52" s="2">
        <f t="shared" si="1"/>
        <v>9.5999999999999979</v>
      </c>
    </row>
    <row r="53" spans="1:4" x14ac:dyDescent="0.3">
      <c r="A53" s="2">
        <v>49</v>
      </c>
      <c r="B53" s="2">
        <f t="shared" si="2"/>
        <v>9.8000000000000007</v>
      </c>
      <c r="C53" s="2">
        <f t="shared" si="0"/>
        <v>9.7999999999999972</v>
      </c>
      <c r="D53" s="2">
        <f t="shared" si="1"/>
        <v>9.7999999999999972</v>
      </c>
    </row>
    <row r="54" spans="1:4" x14ac:dyDescent="0.3">
      <c r="A54" s="2">
        <v>50</v>
      </c>
      <c r="B54" s="2">
        <f t="shared" si="2"/>
        <v>10</v>
      </c>
      <c r="C54" s="2">
        <f t="shared" si="0"/>
        <v>9.9999999999999964</v>
      </c>
      <c r="D54" s="2">
        <f t="shared" si="1"/>
        <v>9.9999999999999964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648-F1D2-3640-A3E1-9EA7BA641FBA}">
  <dimension ref="A1:D54"/>
  <sheetViews>
    <sheetView topLeftCell="A5" zoomScale="105" workbookViewId="0">
      <selection activeCell="M36" sqref="M36"/>
    </sheetView>
  </sheetViews>
  <sheetFormatPr defaultColWidth="11.19921875" defaultRowHeight="15.6" x14ac:dyDescent="0.3"/>
  <sheetData>
    <row r="1" spans="1:4" x14ac:dyDescent="0.3">
      <c r="A1" s="4" t="s">
        <v>0</v>
      </c>
      <c r="B1" s="4">
        <v>0.2</v>
      </c>
      <c r="C1" s="3"/>
      <c r="D1" s="3"/>
    </row>
    <row r="2" spans="1:4" x14ac:dyDescent="0.3">
      <c r="A2" s="3"/>
      <c r="B2" s="3"/>
      <c r="C2" s="3"/>
      <c r="D2" s="3"/>
    </row>
    <row r="3" spans="1:4" x14ac:dyDescent="0.3">
      <c r="A3" s="5" t="s">
        <v>1</v>
      </c>
      <c r="B3" s="5" t="s">
        <v>2</v>
      </c>
      <c r="C3" s="5" t="s">
        <v>6</v>
      </c>
      <c r="D3" s="5" t="s">
        <v>5</v>
      </c>
    </row>
    <row r="4" spans="1:4" x14ac:dyDescent="0.3">
      <c r="A4" s="2">
        <v>0</v>
      </c>
      <c r="B4" s="2">
        <v>0</v>
      </c>
      <c r="C4" s="2">
        <v>0</v>
      </c>
      <c r="D4" s="2">
        <v>0</v>
      </c>
    </row>
    <row r="5" spans="1:4" x14ac:dyDescent="0.3">
      <c r="A5" s="2">
        <v>1</v>
      </c>
      <c r="B5" s="2">
        <f>A5*$B$1</f>
        <v>0.2</v>
      </c>
      <c r="C5" s="2">
        <f>(4-3*C4-2*D4)*$B$1+C4</f>
        <v>0.8</v>
      </c>
      <c r="D5" s="2">
        <f>C4*$B$1+D4</f>
        <v>0</v>
      </c>
    </row>
    <row r="6" spans="1:4" x14ac:dyDescent="0.3">
      <c r="A6" s="2">
        <v>2</v>
      </c>
      <c r="B6" s="2">
        <f>A6*$B$1</f>
        <v>0.4</v>
      </c>
      <c r="C6" s="2">
        <f>(4-3*C5-2*D5)*$B$1+C5</f>
        <v>1.1200000000000001</v>
      </c>
      <c r="D6" s="2">
        <f>C5*$B$1+D5</f>
        <v>0.16000000000000003</v>
      </c>
    </row>
    <row r="7" spans="1:4" x14ac:dyDescent="0.3">
      <c r="A7" s="2">
        <v>3</v>
      </c>
      <c r="B7" s="2">
        <f>A7*$B$1</f>
        <v>0.60000000000000009</v>
      </c>
      <c r="C7" s="2">
        <f t="shared" ref="C7:C54" si="0">(4-3*C6-2*D6)*$B$1+C6</f>
        <v>1.1839999999999999</v>
      </c>
      <c r="D7" s="2">
        <f t="shared" ref="D7:D54" si="1">C6*$B$1+D6</f>
        <v>0.38400000000000006</v>
      </c>
    </row>
    <row r="8" spans="1:4" x14ac:dyDescent="0.3">
      <c r="A8" s="2">
        <v>4</v>
      </c>
      <c r="B8" s="2">
        <f>A8*$B$1</f>
        <v>0.8</v>
      </c>
      <c r="C8" s="2">
        <f t="shared" si="0"/>
        <v>1.1200000000000001</v>
      </c>
      <c r="D8" s="2">
        <f t="shared" si="1"/>
        <v>0.62080000000000002</v>
      </c>
    </row>
    <row r="9" spans="1:4" x14ac:dyDescent="0.3">
      <c r="A9" s="2">
        <v>5</v>
      </c>
      <c r="B9" s="2">
        <f>A9*$B$1</f>
        <v>1</v>
      </c>
      <c r="C9" s="2">
        <f t="shared" si="0"/>
        <v>0.99968000000000001</v>
      </c>
      <c r="D9" s="2">
        <f t="shared" si="1"/>
        <v>0.8448</v>
      </c>
    </row>
    <row r="10" spans="1:4" x14ac:dyDescent="0.3">
      <c r="A10" s="2">
        <v>6</v>
      </c>
      <c r="B10" s="2">
        <f t="shared" ref="B10:B54" si="2">A10*$B$1</f>
        <v>1.2000000000000002</v>
      </c>
      <c r="C10" s="2">
        <f t="shared" si="0"/>
        <v>0.86195200000000005</v>
      </c>
      <c r="D10" s="2">
        <f t="shared" si="1"/>
        <v>1.0447359999999999</v>
      </c>
    </row>
    <row r="11" spans="1:4" x14ac:dyDescent="0.3">
      <c r="A11" s="2">
        <v>7</v>
      </c>
      <c r="B11" s="2">
        <f t="shared" si="2"/>
        <v>1.4000000000000001</v>
      </c>
      <c r="C11" s="2">
        <f t="shared" si="0"/>
        <v>0.72688640000000004</v>
      </c>
      <c r="D11" s="2">
        <f t="shared" si="1"/>
        <v>1.2171263999999999</v>
      </c>
    </row>
    <row r="12" spans="1:4" x14ac:dyDescent="0.3">
      <c r="A12" s="2">
        <v>8</v>
      </c>
      <c r="B12" s="2">
        <f t="shared" si="2"/>
        <v>1.6</v>
      </c>
      <c r="C12" s="2">
        <f t="shared" si="0"/>
        <v>0.603904</v>
      </c>
      <c r="D12" s="2">
        <f t="shared" si="1"/>
        <v>1.3625036799999999</v>
      </c>
    </row>
    <row r="13" spans="1:4" x14ac:dyDescent="0.3">
      <c r="A13" s="2">
        <v>9</v>
      </c>
      <c r="B13" s="2">
        <f t="shared" si="2"/>
        <v>1.8</v>
      </c>
      <c r="C13" s="2">
        <f t="shared" si="0"/>
        <v>0.49656012800000005</v>
      </c>
      <c r="D13" s="2">
        <f t="shared" si="1"/>
        <v>1.4832844799999998</v>
      </c>
    </row>
    <row r="14" spans="1:4" x14ac:dyDescent="0.3">
      <c r="A14" s="2">
        <v>10</v>
      </c>
      <c r="B14" s="2">
        <f t="shared" si="2"/>
        <v>2</v>
      </c>
      <c r="C14" s="2">
        <f t="shared" si="0"/>
        <v>0.40531025920000008</v>
      </c>
      <c r="D14" s="2">
        <f t="shared" si="1"/>
        <v>1.5825965055999998</v>
      </c>
    </row>
    <row r="15" spans="1:4" x14ac:dyDescent="0.3">
      <c r="A15" s="2">
        <v>11</v>
      </c>
      <c r="B15" s="2">
        <f t="shared" si="2"/>
        <v>2.2000000000000002</v>
      </c>
      <c r="C15" s="2">
        <f t="shared" si="0"/>
        <v>0.32908550144000015</v>
      </c>
      <c r="D15" s="2">
        <f t="shared" si="1"/>
        <v>1.6636585574399998</v>
      </c>
    </row>
    <row r="16" spans="1:4" x14ac:dyDescent="0.3">
      <c r="A16" s="2">
        <v>12</v>
      </c>
      <c r="B16" s="2">
        <f t="shared" si="2"/>
        <v>2.4000000000000004</v>
      </c>
      <c r="C16" s="2">
        <f t="shared" si="0"/>
        <v>0.26617077760000019</v>
      </c>
      <c r="D16" s="2">
        <f t="shared" si="1"/>
        <v>1.7294756577279999</v>
      </c>
    </row>
    <row r="17" spans="1:4" x14ac:dyDescent="0.3">
      <c r="A17" s="2">
        <v>13</v>
      </c>
      <c r="B17" s="2">
        <f t="shared" si="2"/>
        <v>2.6</v>
      </c>
      <c r="C17" s="2">
        <f t="shared" si="0"/>
        <v>0.2146780479488001</v>
      </c>
      <c r="D17" s="2">
        <f t="shared" si="1"/>
        <v>1.7827098132479999</v>
      </c>
    </row>
    <row r="18" spans="1:4" x14ac:dyDescent="0.3">
      <c r="A18" s="2">
        <v>14</v>
      </c>
      <c r="B18" s="2">
        <f t="shared" si="2"/>
        <v>2.8000000000000003</v>
      </c>
      <c r="C18" s="2">
        <f t="shared" si="0"/>
        <v>0.1727872938803201</v>
      </c>
      <c r="D18" s="2">
        <f t="shared" si="1"/>
        <v>1.8256454228377599</v>
      </c>
    </row>
    <row r="19" spans="1:4" x14ac:dyDescent="0.3">
      <c r="A19" s="2">
        <v>15</v>
      </c>
      <c r="B19" s="2">
        <f t="shared" si="2"/>
        <v>3</v>
      </c>
      <c r="C19" s="2">
        <f t="shared" si="0"/>
        <v>0.13885674841702408</v>
      </c>
      <c r="D19" s="2">
        <f t="shared" si="1"/>
        <v>1.8602028816138239</v>
      </c>
    </row>
    <row r="20" spans="1:4" x14ac:dyDescent="0.3">
      <c r="A20" s="2">
        <v>16</v>
      </c>
      <c r="B20" s="2">
        <f t="shared" si="2"/>
        <v>3.2</v>
      </c>
      <c r="C20" s="2">
        <f t="shared" si="0"/>
        <v>0.11146154672128014</v>
      </c>
      <c r="D20" s="2">
        <f t="shared" si="1"/>
        <v>1.8879742312972287</v>
      </c>
    </row>
    <row r="21" spans="1:4" x14ac:dyDescent="0.3">
      <c r="A21" s="2">
        <v>17</v>
      </c>
      <c r="B21" s="2">
        <f t="shared" si="2"/>
        <v>3.4000000000000004</v>
      </c>
      <c r="C21" s="2">
        <f t="shared" si="0"/>
        <v>8.9394926169620609E-2</v>
      </c>
      <c r="D21" s="2">
        <f t="shared" si="1"/>
        <v>1.9102665406414847</v>
      </c>
    </row>
    <row r="22" spans="1:4" x14ac:dyDescent="0.3">
      <c r="A22" s="2">
        <v>18</v>
      </c>
      <c r="B22" s="2">
        <f t="shared" si="2"/>
        <v>3.6</v>
      </c>
      <c r="C22" s="2">
        <f t="shared" si="0"/>
        <v>7.1651354211254403E-2</v>
      </c>
      <c r="D22" s="2">
        <f t="shared" si="1"/>
        <v>1.9281455258754088</v>
      </c>
    </row>
    <row r="23" spans="1:4" x14ac:dyDescent="0.3">
      <c r="A23" s="2">
        <v>19</v>
      </c>
      <c r="B23" s="2">
        <f t="shared" si="2"/>
        <v>3.8000000000000003</v>
      </c>
      <c r="C23" s="2">
        <f t="shared" si="0"/>
        <v>5.7402331334338266E-2</v>
      </c>
      <c r="D23" s="2">
        <f t="shared" si="1"/>
        <v>1.9424757967176596</v>
      </c>
    </row>
    <row r="24" spans="1:4" x14ac:dyDescent="0.3">
      <c r="A24" s="2">
        <v>20</v>
      </c>
      <c r="B24" s="2">
        <f t="shared" si="2"/>
        <v>4</v>
      </c>
      <c r="C24" s="2">
        <f t="shared" si="0"/>
        <v>4.5970613846671504E-2</v>
      </c>
      <c r="D24" s="2">
        <f t="shared" si="1"/>
        <v>1.9539562629845273</v>
      </c>
    </row>
    <row r="25" spans="1:4" x14ac:dyDescent="0.3">
      <c r="A25" s="2">
        <v>21</v>
      </c>
      <c r="B25" s="2">
        <f t="shared" si="2"/>
        <v>4.2</v>
      </c>
      <c r="C25" s="2">
        <f t="shared" si="0"/>
        <v>3.6805740344857694E-2</v>
      </c>
      <c r="D25" s="2">
        <f t="shared" si="1"/>
        <v>1.9631503857538617</v>
      </c>
    </row>
    <row r="26" spans="1:4" x14ac:dyDescent="0.3">
      <c r="A26" s="2">
        <v>22</v>
      </c>
      <c r="B26" s="2">
        <f t="shared" si="2"/>
        <v>4.4000000000000004</v>
      </c>
      <c r="C26" s="2">
        <f t="shared" si="0"/>
        <v>2.9462141836398448E-2</v>
      </c>
      <c r="D26" s="2">
        <f t="shared" si="1"/>
        <v>1.9705115338228332</v>
      </c>
    </row>
    <row r="27" spans="1:4" x14ac:dyDescent="0.3">
      <c r="A27" s="2">
        <v>23</v>
      </c>
      <c r="B27" s="2">
        <f t="shared" si="2"/>
        <v>4.6000000000000005</v>
      </c>
      <c r="C27" s="2">
        <f t="shared" si="0"/>
        <v>2.3580243205426121E-2</v>
      </c>
      <c r="D27" s="2">
        <f t="shared" si="1"/>
        <v>1.9764039621901128</v>
      </c>
    </row>
    <row r="28" spans="1:4" x14ac:dyDescent="0.3">
      <c r="A28" s="2">
        <v>24</v>
      </c>
      <c r="B28" s="2">
        <f t="shared" si="2"/>
        <v>4.8000000000000007</v>
      </c>
      <c r="C28" s="2">
        <f t="shared" si="0"/>
        <v>1.8870512406125327E-2</v>
      </c>
      <c r="D28" s="2">
        <f t="shared" si="1"/>
        <v>1.9811200108311982</v>
      </c>
    </row>
    <row r="29" spans="1:4" x14ac:dyDescent="0.3">
      <c r="A29" s="2">
        <v>25</v>
      </c>
      <c r="B29" s="2">
        <f t="shared" si="2"/>
        <v>5</v>
      </c>
      <c r="C29" s="2">
        <f t="shared" si="0"/>
        <v>1.5100200629970827E-2</v>
      </c>
      <c r="D29" s="2">
        <f t="shared" si="1"/>
        <v>1.9848941133124232</v>
      </c>
    </row>
    <row r="30" spans="1:4" x14ac:dyDescent="0.3">
      <c r="A30" s="2">
        <v>26</v>
      </c>
      <c r="B30" s="2">
        <f t="shared" si="2"/>
        <v>5.2</v>
      </c>
      <c r="C30" s="2">
        <f t="shared" si="0"/>
        <v>1.2082434927019024E-2</v>
      </c>
      <c r="D30" s="2">
        <f t="shared" si="1"/>
        <v>1.9879141534384173</v>
      </c>
    </row>
    <row r="31" spans="1:4" x14ac:dyDescent="0.3">
      <c r="A31" s="2">
        <v>27</v>
      </c>
      <c r="B31" s="2">
        <f t="shared" si="2"/>
        <v>5.4</v>
      </c>
      <c r="C31" s="2">
        <f t="shared" si="0"/>
        <v>9.6673125954406785E-3</v>
      </c>
      <c r="D31" s="2">
        <f t="shared" si="1"/>
        <v>1.990330640423821</v>
      </c>
    </row>
    <row r="32" spans="1:4" x14ac:dyDescent="0.3">
      <c r="A32" s="2">
        <v>28</v>
      </c>
      <c r="B32" s="2">
        <f t="shared" si="2"/>
        <v>5.6000000000000005</v>
      </c>
      <c r="C32" s="2">
        <f t="shared" si="0"/>
        <v>7.7346688686478742E-3</v>
      </c>
      <c r="D32" s="2">
        <f t="shared" si="1"/>
        <v>1.9922641029429091</v>
      </c>
    </row>
    <row r="33" spans="1:4" x14ac:dyDescent="0.3">
      <c r="A33" s="2">
        <v>29</v>
      </c>
      <c r="B33" s="2">
        <f t="shared" si="2"/>
        <v>5.8000000000000007</v>
      </c>
      <c r="C33" s="2">
        <f t="shared" si="0"/>
        <v>6.1882263702955111E-3</v>
      </c>
      <c r="D33" s="2">
        <f t="shared" si="1"/>
        <v>1.9938110367166386</v>
      </c>
    </row>
    <row r="34" spans="1:4" x14ac:dyDescent="0.3">
      <c r="A34" s="2">
        <v>30</v>
      </c>
      <c r="B34" s="2">
        <f t="shared" si="2"/>
        <v>6</v>
      </c>
      <c r="C34" s="2">
        <f t="shared" si="0"/>
        <v>4.9508758614627314E-3</v>
      </c>
      <c r="D34" s="2">
        <f t="shared" si="1"/>
        <v>1.9950486819906976</v>
      </c>
    </row>
    <row r="35" spans="1:4" x14ac:dyDescent="0.3">
      <c r="A35" s="2">
        <v>31</v>
      </c>
      <c r="B35" s="2">
        <f t="shared" si="2"/>
        <v>6.2</v>
      </c>
      <c r="C35" s="2">
        <f t="shared" si="0"/>
        <v>3.9608775483060167E-3</v>
      </c>
      <c r="D35" s="2">
        <f t="shared" si="1"/>
        <v>1.9960388571629901</v>
      </c>
    </row>
    <row r="36" spans="1:4" x14ac:dyDescent="0.3">
      <c r="A36" s="2">
        <v>32</v>
      </c>
      <c r="B36" s="2">
        <f t="shared" si="2"/>
        <v>6.4</v>
      </c>
      <c r="C36" s="2">
        <f t="shared" si="0"/>
        <v>3.1688081541263327E-3</v>
      </c>
      <c r="D36" s="2">
        <f t="shared" si="1"/>
        <v>1.9968310326726513</v>
      </c>
    </row>
    <row r="37" spans="1:4" x14ac:dyDescent="0.3">
      <c r="A37" s="2">
        <v>33</v>
      </c>
      <c r="B37" s="2">
        <f t="shared" si="2"/>
        <v>6.6000000000000005</v>
      </c>
      <c r="C37" s="2">
        <f t="shared" si="0"/>
        <v>2.5351101925900157E-3</v>
      </c>
      <c r="D37" s="2">
        <f t="shared" si="1"/>
        <v>1.9974647943034765</v>
      </c>
    </row>
    <row r="38" spans="1:4" x14ac:dyDescent="0.3">
      <c r="A38" s="2">
        <v>34</v>
      </c>
      <c r="B38" s="2">
        <f t="shared" si="2"/>
        <v>6.8000000000000007</v>
      </c>
      <c r="C38" s="2">
        <f t="shared" si="0"/>
        <v>2.0281263556454522E-3</v>
      </c>
      <c r="D38" s="2">
        <f t="shared" si="1"/>
        <v>1.9979718163419944</v>
      </c>
    </row>
    <row r="39" spans="1:4" x14ac:dyDescent="0.3">
      <c r="A39" s="2">
        <v>35</v>
      </c>
      <c r="B39" s="2">
        <f t="shared" si="2"/>
        <v>7</v>
      </c>
      <c r="C39" s="2">
        <f t="shared" si="0"/>
        <v>1.6225240054603997E-3</v>
      </c>
      <c r="D39" s="2">
        <f t="shared" si="1"/>
        <v>1.9983774416131235</v>
      </c>
    </row>
    <row r="40" spans="1:4" x14ac:dyDescent="0.3">
      <c r="A40" s="2">
        <v>36</v>
      </c>
      <c r="B40" s="2">
        <f t="shared" si="2"/>
        <v>7.2</v>
      </c>
      <c r="C40" s="2">
        <f t="shared" si="0"/>
        <v>1.2980329569347449E-3</v>
      </c>
      <c r="D40" s="2">
        <f t="shared" si="1"/>
        <v>1.9987019464142155</v>
      </c>
    </row>
    <row r="41" spans="1:4" x14ac:dyDescent="0.3">
      <c r="A41" s="2">
        <v>37</v>
      </c>
      <c r="B41" s="2">
        <f t="shared" si="2"/>
        <v>7.4</v>
      </c>
      <c r="C41" s="2">
        <f t="shared" si="0"/>
        <v>1.0384346170876891E-3</v>
      </c>
      <c r="D41" s="2">
        <f t="shared" si="1"/>
        <v>1.9989615530056024</v>
      </c>
    </row>
    <row r="42" spans="1:4" x14ac:dyDescent="0.3">
      <c r="A42" s="2">
        <v>38</v>
      </c>
      <c r="B42" s="2">
        <f t="shared" si="2"/>
        <v>7.6000000000000005</v>
      </c>
      <c r="C42" s="2">
        <f t="shared" si="0"/>
        <v>8.307526445941216E-4</v>
      </c>
      <c r="D42" s="2">
        <f t="shared" si="1"/>
        <v>1.99916923992902</v>
      </c>
    </row>
    <row r="43" spans="1:4" x14ac:dyDescent="0.3">
      <c r="A43" s="2">
        <v>39</v>
      </c>
      <c r="B43" s="2">
        <f t="shared" si="2"/>
        <v>7.8000000000000007</v>
      </c>
      <c r="C43" s="2">
        <f t="shared" si="0"/>
        <v>6.6460508622963928E-4</v>
      </c>
      <c r="D43" s="2">
        <f t="shared" si="1"/>
        <v>1.9993353904579387</v>
      </c>
    </row>
    <row r="44" spans="1:4" x14ac:dyDescent="0.3">
      <c r="A44" s="2">
        <v>40</v>
      </c>
      <c r="B44" s="2">
        <f t="shared" si="2"/>
        <v>8</v>
      </c>
      <c r="C44" s="2">
        <f t="shared" si="0"/>
        <v>5.3168585131631915E-4</v>
      </c>
      <c r="D44" s="2">
        <f t="shared" si="1"/>
        <v>1.9994683114751846</v>
      </c>
    </row>
    <row r="45" spans="1:4" x14ac:dyDescent="0.3">
      <c r="A45" s="2">
        <v>41</v>
      </c>
      <c r="B45" s="2">
        <f t="shared" si="2"/>
        <v>8.2000000000000011</v>
      </c>
      <c r="C45" s="2">
        <f t="shared" si="0"/>
        <v>4.2534975045266149E-4</v>
      </c>
      <c r="D45" s="2">
        <f t="shared" si="1"/>
        <v>1.9995746486454478</v>
      </c>
    </row>
    <row r="46" spans="1:4" x14ac:dyDescent="0.3">
      <c r="A46" s="2">
        <v>42</v>
      </c>
      <c r="B46" s="2">
        <f t="shared" si="2"/>
        <v>8.4</v>
      </c>
      <c r="C46" s="2">
        <f t="shared" si="0"/>
        <v>3.4028044200197001E-4</v>
      </c>
      <c r="D46" s="2">
        <f t="shared" si="1"/>
        <v>1.9996597185955383</v>
      </c>
    </row>
    <row r="47" spans="1:4" x14ac:dyDescent="0.3">
      <c r="A47" s="2">
        <v>43</v>
      </c>
      <c r="B47" s="2">
        <f t="shared" si="2"/>
        <v>8.6</v>
      </c>
      <c r="C47" s="2">
        <f t="shared" si="0"/>
        <v>2.7222473858551138E-4</v>
      </c>
      <c r="D47" s="2">
        <f t="shared" si="1"/>
        <v>1.9997277746839386</v>
      </c>
    </row>
    <row r="48" spans="1:4" x14ac:dyDescent="0.3">
      <c r="A48" s="2">
        <v>44</v>
      </c>
      <c r="B48" s="2">
        <f t="shared" si="2"/>
        <v>8.8000000000000007</v>
      </c>
      <c r="C48" s="2">
        <f t="shared" si="0"/>
        <v>2.1778002185877991E-4</v>
      </c>
      <c r="D48" s="2">
        <f t="shared" si="1"/>
        <v>1.9997822196316557</v>
      </c>
    </row>
    <row r="49" spans="1:4" x14ac:dyDescent="0.3">
      <c r="A49" s="2">
        <v>45</v>
      </c>
      <c r="B49" s="2">
        <f t="shared" si="2"/>
        <v>9</v>
      </c>
      <c r="C49" s="2">
        <f t="shared" si="0"/>
        <v>1.7422415608122404E-4</v>
      </c>
      <c r="D49" s="2">
        <f t="shared" si="1"/>
        <v>1.9998257756360274</v>
      </c>
    </row>
    <row r="50" spans="1:4" x14ac:dyDescent="0.3">
      <c r="A50" s="2">
        <v>46</v>
      </c>
      <c r="B50" s="2">
        <f t="shared" si="2"/>
        <v>9.2000000000000011</v>
      </c>
      <c r="C50" s="2">
        <f t="shared" si="0"/>
        <v>1.3937940802149823E-4</v>
      </c>
      <c r="D50" s="2">
        <f t="shared" si="1"/>
        <v>1.9998606204672436</v>
      </c>
    </row>
    <row r="51" spans="1:4" x14ac:dyDescent="0.3">
      <c r="A51" s="2">
        <v>47</v>
      </c>
      <c r="B51" s="2">
        <f t="shared" si="2"/>
        <v>9.4</v>
      </c>
      <c r="C51" s="2">
        <f t="shared" si="0"/>
        <v>1.1150357631118707E-4</v>
      </c>
      <c r="D51" s="2">
        <f t="shared" si="1"/>
        <v>1.9998884963488479</v>
      </c>
    </row>
    <row r="52" spans="1:4" x14ac:dyDescent="0.3">
      <c r="A52" s="2">
        <v>48</v>
      </c>
      <c r="B52" s="2">
        <f t="shared" si="2"/>
        <v>9.6000000000000014</v>
      </c>
      <c r="C52" s="2">
        <f t="shared" si="0"/>
        <v>8.9202890985338112E-5</v>
      </c>
      <c r="D52" s="2">
        <f t="shared" si="1"/>
        <v>1.9999107970641101</v>
      </c>
    </row>
    <row r="53" spans="1:4" x14ac:dyDescent="0.3">
      <c r="A53" s="2">
        <v>49</v>
      </c>
      <c r="B53" s="2">
        <f t="shared" si="2"/>
        <v>9.8000000000000007</v>
      </c>
      <c r="C53" s="2">
        <f t="shared" si="0"/>
        <v>7.1362330750077634E-5</v>
      </c>
      <c r="D53" s="2">
        <f t="shared" si="1"/>
        <v>1.9999286376423071</v>
      </c>
    </row>
    <row r="54" spans="1:4" x14ac:dyDescent="0.3">
      <c r="A54" s="2">
        <v>50</v>
      </c>
      <c r="B54" s="2">
        <f t="shared" si="2"/>
        <v>10</v>
      </c>
      <c r="C54" s="2">
        <f t="shared" si="0"/>
        <v>5.7089875377145318E-5</v>
      </c>
      <c r="D54" s="2">
        <f t="shared" si="1"/>
        <v>1.9999429101084572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 3_del_t=0.2</vt:lpstr>
      <vt:lpstr>PR4_del_t=0.2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ayodya.p.t</dc:creator>
  <cp:lastModifiedBy>Gede Sangu Gemi</cp:lastModifiedBy>
  <dcterms:created xsi:type="dcterms:W3CDTF">2026-09-18T03:46:16Z</dcterms:created>
  <dcterms:modified xsi:type="dcterms:W3CDTF">2026-10-18T01:13:53Z</dcterms:modified>
</cp:coreProperties>
</file>